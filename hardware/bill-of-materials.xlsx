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<sst xmlns="http://schemas.openxmlformats.org/spreadsheetml/2006/main" count="93" uniqueCount="55">
  <si>
    <t>M</t>
  </si>
  <si>
    <t>W</t>
  </si>
  <si>
    <t>Cartridge RPM</t>
  </si>
  <si>
    <t>Input Gear</t>
  </si>
  <si>
    <t>Output Gear</t>
  </si>
  <si>
    <t>Speed Ratio</t>
  </si>
  <si>
    <t>Torque Factor</t>
  </si>
  <si>
    <t>Wheel RPM</t>
  </si>
  <si>
    <t>Speed mph</t>
  </si>
  <si>
    <t>Motor Torque Nm</t>
  </si>
  <si>
    <t>Total Wheel Torque Nm</t>
  </si>
  <si>
    <t>Push Force lbf</t>
  </si>
  <si>
    <t>Verdict</t>
  </si>
  <si>
    <t>Why</t>
  </si>
  <si>
    <t>1</t>
  </si>
  <si>
    <t>Very strong but too slow</t>
  </si>
  <si>
    <t>Boring</t>
  </si>
  <si>
    <t>Extremely strong but boring</t>
  </si>
  <si>
    <t>Overkill torque, very slow</t>
  </si>
  <si>
    <t>84</t>
  </si>
  <si>
    <t>Strong but still slow</t>
  </si>
  <si>
    <t>Strong, not funny-fast</t>
  </si>
  <si>
    <t>Very strong, still slow</t>
  </si>
  <si>
    <t>60</t>
  </si>
  <si>
    <t>Okay but not worth it</t>
  </si>
  <si>
    <t>Decent torque, still slow</t>
  </si>
  <si>
    <t>Strong but speed underwhelming</t>
  </si>
  <si>
    <t>Similar to 200 direct but more complex</t>
  </si>
  <si>
    <t>Usable but 200 rpm cleaner</t>
  </si>
  <si>
    <t>Good torque but weird choice</t>
  </si>
  <si>
    <t>Okay unloaded, weak loaded</t>
  </si>
  <si>
    <t>Strong/simple, a little slow</t>
  </si>
  <si>
    <t>Very reliable, maybe boring</t>
  </si>
  <si>
    <t>Too weak loaded</t>
  </si>
  <si>
    <t>Good</t>
  </si>
  <si>
    <t>Best 6-motor compromise</t>
  </si>
  <si>
    <t>Best overall design</t>
  </si>
  <si>
    <t>Good speed, torque borderline</t>
  </si>
  <si>
    <t>Best true ~4 mph option</t>
  </si>
  <si>
    <t>Bad loaded</t>
  </si>
  <si>
    <t>A little fast</t>
  </si>
  <si>
    <t>Funny-fast, too torque-light</t>
  </si>
  <si>
    <t>Fast, software cap required</t>
  </si>
  <si>
    <t>Too fast and weak</t>
  </si>
  <si>
    <t>Death.</t>
  </si>
  <si>
    <t>Sketchy and torque-light</t>
  </si>
  <si>
    <t>Still sketchy</t>
  </si>
  <si>
    <t>No</t>
  </si>
  <si>
    <t>Very no</t>
  </si>
  <si>
    <t>Still no</t>
  </si>
  <si>
    <t>Absolutely no</t>
  </si>
  <si>
    <t>Death kart, no</t>
  </si>
  <si>
    <t>72</t>
  </si>
  <si>
    <t>Best compromise between 19&amp;25</t>
  </si>
  <si>
    <t>W 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</si>
</sst>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D9D5"/>
        <bgColor rgb="FFFFD9D5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FEBAB4"/>
        <bgColor rgb="FFFEBAB4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49" xfId="0" applyAlignment="1" applyFont="1" applyNumberFormat="1">
      <alignment readingOrder="0" shrinkToFit="0" vertical="center" wrapText="0"/>
    </xf>
    <xf borderId="0" fillId="2" fontId="2" numFmtId="9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2" numFmtId="2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0" fillId="3" fontId="3" numFmtId="9" xfId="0" applyAlignment="1" applyFont="1" applyNumberForma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3" numFmtId="2" xfId="0" applyAlignment="1" applyFont="1" applyNumberForma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49" xfId="0" applyAlignment="1" applyFont="1" applyNumberFormat="1">
      <alignment readingOrder="0" shrinkToFit="0" vertical="center" wrapText="0"/>
    </xf>
    <xf borderId="0" fillId="4" fontId="3" numFmtId="9" xfId="0" applyAlignment="1" applyFont="1" applyNumberForma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3" numFmtId="2" xfId="0" applyAlignment="1" applyFont="1" applyNumberForma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49" xfId="0" applyAlignment="1" applyFont="1" applyNumberFormat="1">
      <alignment readingOrder="0" shrinkToFit="0" vertical="center" wrapText="0"/>
    </xf>
    <xf borderId="0" fillId="5" fontId="2" numFmtId="9" xfId="0" applyAlignment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2" numFmtId="2" xfId="0" applyAlignment="1" applyFont="1" applyNumberForma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49" xfId="0" applyAlignment="1" applyFont="1" applyNumberFormat="1">
      <alignment readingOrder="0" shrinkToFit="0" vertical="center" wrapText="0"/>
    </xf>
    <xf borderId="0" fillId="5" fontId="2" numFmtId="9" xfId="0" applyAlignment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2" numFmtId="2" xfId="0" applyAlignment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8" displayName="Drivetrain_Options" name="Drivetrain_Options" id="1">
  <tableColumns count="14">
    <tableColumn name="M" id="1"/>
    <tableColumn name="W" id="2"/>
    <tableColumn name="Cartridge RPM" id="3"/>
    <tableColumn name="Input Gear" id="4"/>
    <tableColumn name="Output Gear" id="5"/>
    <tableColumn name="Speed Ratio" id="6"/>
    <tableColumn name="Torque Factor" id="7"/>
    <tableColumn name="Wheel RPM" id="8"/>
    <tableColumn name="Speed mph" id="9"/>
    <tableColumn name="Motor Torque Nm" id="10"/>
    <tableColumn name="Total Wheel Torque Nm" id="11"/>
    <tableColumn name="Push Force lbf" id="12"/>
    <tableColumn name="Verdict" id="13"/>
    <tableColumn name="Why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6.38"/>
    <col customWidth="1" min="3" max="3" width="19.88"/>
    <col customWidth="1" min="4" max="4" width="16.63"/>
    <col customWidth="1" min="5" max="5" width="18.38"/>
    <col customWidth="1" min="6" max="6" width="14.5"/>
    <col customWidth="1" min="7" max="7" width="15.25"/>
    <col customWidth="1" min="8" max="8" width="17.38"/>
    <col customWidth="1" min="9" max="9" width="13.63"/>
    <col customWidth="1" min="10" max="10" width="23.75"/>
    <col customWidth="1" min="11" max="11" width="26.13"/>
    <col customWidth="1" min="12" max="12" width="19.5"/>
    <col customWidth="1" min="13" max="13" width="32.13"/>
    <col customWidth="1" min="14" max="14" width="16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ht="22.5" customHeight="1">
      <c r="A2" s="6">
        <v>4.0</v>
      </c>
      <c r="B2" s="6">
        <v>4.0</v>
      </c>
      <c r="C2" s="7">
        <v>100.0</v>
      </c>
      <c r="D2" s="8" t="s">
        <v>14</v>
      </c>
      <c r="E2" s="7">
        <v>1.0</v>
      </c>
      <c r="F2" s="6">
        <f t="shared" ref="F2:F38" si="1">ROUND(D2/E2,2)</f>
        <v>1</v>
      </c>
      <c r="G2" s="9">
        <f t="shared" ref="G2:G38" si="2">ROUND(E2/D2,2)</f>
        <v>1</v>
      </c>
      <c r="H2" s="6">
        <f t="shared" ref="H2:H38" si="3">ROUND(C2*(D2/E2),0)</f>
        <v>100</v>
      </c>
      <c r="I2" s="10">
        <f t="shared" ref="I2:I38" si="4">ROUND(H2*PI()*4/12*60/5280,2)</f>
        <v>1.19</v>
      </c>
      <c r="J2" s="11">
        <f t="shared" ref="J2:J38" si="5">ROUND(210/C2,2)</f>
        <v>2.1</v>
      </c>
      <c r="K2" s="6">
        <f t="shared" ref="K2:K38" si="6">ROUND(A2*(210/C2)*(E2/D2),2)</f>
        <v>8.4</v>
      </c>
      <c r="L2" s="6">
        <f t="shared" ref="L2:L38" si="7">ROUND((A2*(210/C2)*(E2/D2)/0.0508)*0.224809,1)</f>
        <v>37.2</v>
      </c>
      <c r="M2" s="12" t="s">
        <v>15</v>
      </c>
      <c r="N2" s="13" t="s">
        <v>16</v>
      </c>
    </row>
    <row r="3" ht="22.5" customHeight="1">
      <c r="A3" s="6">
        <v>6.0</v>
      </c>
      <c r="B3" s="6">
        <v>6.0</v>
      </c>
      <c r="C3" s="7">
        <v>100.0</v>
      </c>
      <c r="D3" s="8" t="s">
        <v>14</v>
      </c>
      <c r="E3" s="7">
        <v>1.0</v>
      </c>
      <c r="F3" s="6">
        <f t="shared" si="1"/>
        <v>1</v>
      </c>
      <c r="G3" s="9">
        <f t="shared" si="2"/>
        <v>1</v>
      </c>
      <c r="H3" s="6">
        <f t="shared" si="3"/>
        <v>100</v>
      </c>
      <c r="I3" s="10">
        <f t="shared" si="4"/>
        <v>1.19</v>
      </c>
      <c r="J3" s="11">
        <f t="shared" si="5"/>
        <v>2.1</v>
      </c>
      <c r="K3" s="6">
        <f t="shared" si="6"/>
        <v>12.6</v>
      </c>
      <c r="L3" s="6">
        <f t="shared" si="7"/>
        <v>55.8</v>
      </c>
      <c r="M3" s="12" t="s">
        <v>17</v>
      </c>
      <c r="N3" s="14"/>
    </row>
    <row r="4" ht="22.5" customHeight="1">
      <c r="A4" s="6">
        <v>8.0</v>
      </c>
      <c r="B4" s="6">
        <v>6.0</v>
      </c>
      <c r="C4" s="7">
        <v>100.0</v>
      </c>
      <c r="D4" s="8" t="s">
        <v>14</v>
      </c>
      <c r="E4" s="7">
        <v>1.0</v>
      </c>
      <c r="F4" s="6">
        <f t="shared" si="1"/>
        <v>1</v>
      </c>
      <c r="G4" s="9">
        <f t="shared" si="2"/>
        <v>1</v>
      </c>
      <c r="H4" s="6">
        <f t="shared" si="3"/>
        <v>100</v>
      </c>
      <c r="I4" s="10">
        <f t="shared" si="4"/>
        <v>1.19</v>
      </c>
      <c r="J4" s="11">
        <f t="shared" si="5"/>
        <v>2.1</v>
      </c>
      <c r="K4" s="6">
        <f t="shared" si="6"/>
        <v>16.8</v>
      </c>
      <c r="L4" s="6">
        <f t="shared" si="7"/>
        <v>74.3</v>
      </c>
      <c r="M4" s="12" t="s">
        <v>18</v>
      </c>
      <c r="N4" s="14"/>
    </row>
    <row r="5" ht="22.5" customHeight="1">
      <c r="A5" s="6">
        <v>4.0</v>
      </c>
      <c r="B5" s="6">
        <v>4.0</v>
      </c>
      <c r="C5" s="7">
        <v>100.0</v>
      </c>
      <c r="D5" s="8" t="s">
        <v>19</v>
      </c>
      <c r="E5" s="7">
        <v>60.0</v>
      </c>
      <c r="F5" s="6">
        <f t="shared" si="1"/>
        <v>1.4</v>
      </c>
      <c r="G5" s="9">
        <f t="shared" si="2"/>
        <v>0.71</v>
      </c>
      <c r="H5" s="6">
        <f t="shared" si="3"/>
        <v>140</v>
      </c>
      <c r="I5" s="10">
        <f t="shared" si="4"/>
        <v>1.67</v>
      </c>
      <c r="J5" s="11">
        <f t="shared" si="5"/>
        <v>2.1</v>
      </c>
      <c r="K5" s="6">
        <f t="shared" si="6"/>
        <v>6</v>
      </c>
      <c r="L5" s="6">
        <f t="shared" si="7"/>
        <v>26.6</v>
      </c>
      <c r="M5" s="12" t="s">
        <v>20</v>
      </c>
      <c r="N5" s="14"/>
    </row>
    <row r="6" ht="22.5" customHeight="1">
      <c r="A6" s="6">
        <v>6.0</v>
      </c>
      <c r="B6" s="6">
        <v>6.0</v>
      </c>
      <c r="C6" s="7">
        <v>100.0</v>
      </c>
      <c r="D6" s="8" t="s">
        <v>19</v>
      </c>
      <c r="E6" s="7">
        <v>60.0</v>
      </c>
      <c r="F6" s="6">
        <f t="shared" si="1"/>
        <v>1.4</v>
      </c>
      <c r="G6" s="9">
        <f t="shared" si="2"/>
        <v>0.71</v>
      </c>
      <c r="H6" s="6">
        <f t="shared" si="3"/>
        <v>140</v>
      </c>
      <c r="I6" s="10">
        <f t="shared" si="4"/>
        <v>1.67</v>
      </c>
      <c r="J6" s="11">
        <f t="shared" si="5"/>
        <v>2.1</v>
      </c>
      <c r="K6" s="6">
        <f t="shared" si="6"/>
        <v>9</v>
      </c>
      <c r="L6" s="6">
        <f t="shared" si="7"/>
        <v>39.8</v>
      </c>
      <c r="M6" s="12" t="s">
        <v>21</v>
      </c>
      <c r="N6" s="14"/>
    </row>
    <row r="7" ht="22.5" customHeight="1">
      <c r="A7" s="6">
        <v>8.0</v>
      </c>
      <c r="B7" s="6">
        <v>6.0</v>
      </c>
      <c r="C7" s="7">
        <v>100.0</v>
      </c>
      <c r="D7" s="8" t="s">
        <v>19</v>
      </c>
      <c r="E7" s="7">
        <v>60.0</v>
      </c>
      <c r="F7" s="6">
        <f t="shared" si="1"/>
        <v>1.4</v>
      </c>
      <c r="G7" s="9">
        <f t="shared" si="2"/>
        <v>0.71</v>
      </c>
      <c r="H7" s="6">
        <f t="shared" si="3"/>
        <v>140</v>
      </c>
      <c r="I7" s="10">
        <f t="shared" si="4"/>
        <v>1.67</v>
      </c>
      <c r="J7" s="11">
        <f t="shared" si="5"/>
        <v>2.1</v>
      </c>
      <c r="K7" s="6">
        <f t="shared" si="6"/>
        <v>12</v>
      </c>
      <c r="L7" s="6">
        <f t="shared" si="7"/>
        <v>53.1</v>
      </c>
      <c r="M7" s="12" t="s">
        <v>22</v>
      </c>
      <c r="N7" s="14"/>
    </row>
    <row r="8" ht="22.5" customHeight="1">
      <c r="A8" s="6">
        <v>4.0</v>
      </c>
      <c r="B8" s="6">
        <v>4.0</v>
      </c>
      <c r="C8" s="7">
        <v>100.0</v>
      </c>
      <c r="D8" s="8" t="s">
        <v>23</v>
      </c>
      <c r="E8" s="7">
        <v>36.0</v>
      </c>
      <c r="F8" s="6">
        <f t="shared" si="1"/>
        <v>1.67</v>
      </c>
      <c r="G8" s="9">
        <f t="shared" si="2"/>
        <v>0.6</v>
      </c>
      <c r="H8" s="6">
        <f t="shared" si="3"/>
        <v>167</v>
      </c>
      <c r="I8" s="10">
        <f t="shared" si="4"/>
        <v>1.99</v>
      </c>
      <c r="J8" s="11">
        <f t="shared" si="5"/>
        <v>2.1</v>
      </c>
      <c r="K8" s="6">
        <f t="shared" si="6"/>
        <v>5.04</v>
      </c>
      <c r="L8" s="6">
        <f t="shared" si="7"/>
        <v>22.3</v>
      </c>
      <c r="M8" s="12" t="s">
        <v>24</v>
      </c>
      <c r="N8" s="14"/>
    </row>
    <row r="9" ht="22.5" customHeight="1">
      <c r="A9" s="6">
        <v>6.0</v>
      </c>
      <c r="B9" s="6">
        <v>6.0</v>
      </c>
      <c r="C9" s="7">
        <v>100.0</v>
      </c>
      <c r="D9" s="8" t="s">
        <v>23</v>
      </c>
      <c r="E9" s="7">
        <v>36.0</v>
      </c>
      <c r="F9" s="6">
        <f t="shared" si="1"/>
        <v>1.67</v>
      </c>
      <c r="G9" s="9">
        <f t="shared" si="2"/>
        <v>0.6</v>
      </c>
      <c r="H9" s="6">
        <f t="shared" si="3"/>
        <v>167</v>
      </c>
      <c r="I9" s="10">
        <f t="shared" si="4"/>
        <v>1.99</v>
      </c>
      <c r="J9" s="11">
        <f t="shared" si="5"/>
        <v>2.1</v>
      </c>
      <c r="K9" s="6">
        <f t="shared" si="6"/>
        <v>7.56</v>
      </c>
      <c r="L9" s="6">
        <f t="shared" si="7"/>
        <v>33.5</v>
      </c>
      <c r="M9" s="12" t="s">
        <v>25</v>
      </c>
      <c r="N9" s="14"/>
    </row>
    <row r="10" ht="22.5" customHeight="1">
      <c r="A10" s="6">
        <v>8.0</v>
      </c>
      <c r="B10" s="6">
        <v>6.0</v>
      </c>
      <c r="C10" s="7">
        <v>100.0</v>
      </c>
      <c r="D10" s="8" t="s">
        <v>23</v>
      </c>
      <c r="E10" s="7">
        <v>36.0</v>
      </c>
      <c r="F10" s="6">
        <f t="shared" si="1"/>
        <v>1.67</v>
      </c>
      <c r="G10" s="9">
        <f t="shared" si="2"/>
        <v>0.6</v>
      </c>
      <c r="H10" s="6">
        <f t="shared" si="3"/>
        <v>167</v>
      </c>
      <c r="I10" s="10">
        <f t="shared" si="4"/>
        <v>1.99</v>
      </c>
      <c r="J10" s="11">
        <f t="shared" si="5"/>
        <v>2.1</v>
      </c>
      <c r="K10" s="6">
        <f t="shared" si="6"/>
        <v>10.08</v>
      </c>
      <c r="L10" s="6">
        <f t="shared" si="7"/>
        <v>44.6</v>
      </c>
      <c r="M10" s="12" t="s">
        <v>26</v>
      </c>
      <c r="N10" s="14"/>
    </row>
    <row r="11" ht="22.5" customHeight="1">
      <c r="A11" s="6">
        <v>4.0</v>
      </c>
      <c r="B11" s="6">
        <v>4.0</v>
      </c>
      <c r="C11" s="7">
        <v>100.0</v>
      </c>
      <c r="D11" s="8" t="s">
        <v>19</v>
      </c>
      <c r="E11" s="7">
        <v>36.0</v>
      </c>
      <c r="F11" s="6">
        <f t="shared" si="1"/>
        <v>2.33</v>
      </c>
      <c r="G11" s="9">
        <f t="shared" si="2"/>
        <v>0.43</v>
      </c>
      <c r="H11" s="6">
        <f t="shared" si="3"/>
        <v>233</v>
      </c>
      <c r="I11" s="10">
        <f t="shared" si="4"/>
        <v>2.77</v>
      </c>
      <c r="J11" s="11">
        <f t="shared" si="5"/>
        <v>2.1</v>
      </c>
      <c r="K11" s="6">
        <f t="shared" si="6"/>
        <v>3.6</v>
      </c>
      <c r="L11" s="6">
        <f t="shared" si="7"/>
        <v>15.9</v>
      </c>
      <c r="M11" s="12" t="s">
        <v>27</v>
      </c>
      <c r="N11" s="14"/>
    </row>
    <row r="12" ht="22.5" customHeight="1">
      <c r="A12" s="6">
        <v>6.0</v>
      </c>
      <c r="B12" s="6">
        <v>6.0</v>
      </c>
      <c r="C12" s="7">
        <v>100.0</v>
      </c>
      <c r="D12" s="8" t="s">
        <v>19</v>
      </c>
      <c r="E12" s="7">
        <v>36.0</v>
      </c>
      <c r="F12" s="6">
        <f t="shared" si="1"/>
        <v>2.33</v>
      </c>
      <c r="G12" s="9">
        <f t="shared" si="2"/>
        <v>0.43</v>
      </c>
      <c r="H12" s="6">
        <f t="shared" si="3"/>
        <v>233</v>
      </c>
      <c r="I12" s="10">
        <f t="shared" si="4"/>
        <v>2.77</v>
      </c>
      <c r="J12" s="11">
        <f t="shared" si="5"/>
        <v>2.1</v>
      </c>
      <c r="K12" s="6">
        <f t="shared" si="6"/>
        <v>5.4</v>
      </c>
      <c r="L12" s="6">
        <f t="shared" si="7"/>
        <v>23.9</v>
      </c>
      <c r="M12" s="12" t="s">
        <v>28</v>
      </c>
      <c r="N12" s="14"/>
    </row>
    <row r="13" ht="22.5" customHeight="1">
      <c r="A13" s="6">
        <v>8.0</v>
      </c>
      <c r="B13" s="6">
        <v>6.0</v>
      </c>
      <c r="C13" s="7">
        <v>100.0</v>
      </c>
      <c r="D13" s="8" t="s">
        <v>19</v>
      </c>
      <c r="E13" s="7">
        <v>36.0</v>
      </c>
      <c r="F13" s="6">
        <f t="shared" si="1"/>
        <v>2.33</v>
      </c>
      <c r="G13" s="9">
        <f t="shared" si="2"/>
        <v>0.43</v>
      </c>
      <c r="H13" s="6">
        <f t="shared" si="3"/>
        <v>233</v>
      </c>
      <c r="I13" s="10">
        <f t="shared" si="4"/>
        <v>2.77</v>
      </c>
      <c r="J13" s="11">
        <f t="shared" si="5"/>
        <v>2.1</v>
      </c>
      <c r="K13" s="6">
        <f t="shared" si="6"/>
        <v>7.2</v>
      </c>
      <c r="L13" s="6">
        <f t="shared" si="7"/>
        <v>31.9</v>
      </c>
      <c r="M13" s="12" t="s">
        <v>29</v>
      </c>
      <c r="N13" s="14"/>
    </row>
    <row r="14" ht="22.5" customHeight="1">
      <c r="A14" s="6">
        <v>4.0</v>
      </c>
      <c r="B14" s="6">
        <v>4.0</v>
      </c>
      <c r="C14" s="7">
        <v>200.0</v>
      </c>
      <c r="D14" s="8" t="s">
        <v>14</v>
      </c>
      <c r="E14" s="7">
        <v>1.0</v>
      </c>
      <c r="F14" s="6">
        <f t="shared" si="1"/>
        <v>1</v>
      </c>
      <c r="G14" s="9">
        <f t="shared" si="2"/>
        <v>1</v>
      </c>
      <c r="H14" s="6">
        <f t="shared" si="3"/>
        <v>200</v>
      </c>
      <c r="I14" s="10">
        <f t="shared" si="4"/>
        <v>2.38</v>
      </c>
      <c r="J14" s="11">
        <f t="shared" si="5"/>
        <v>1.05</v>
      </c>
      <c r="K14" s="6">
        <f t="shared" si="6"/>
        <v>4.2</v>
      </c>
      <c r="L14" s="6">
        <f t="shared" si="7"/>
        <v>18.6</v>
      </c>
      <c r="M14" s="12" t="s">
        <v>30</v>
      </c>
    </row>
    <row r="15" ht="22.5" customHeight="1">
      <c r="A15" s="6">
        <v>6.0</v>
      </c>
      <c r="B15" s="6">
        <v>6.0</v>
      </c>
      <c r="C15" s="7">
        <v>200.0</v>
      </c>
      <c r="D15" s="8" t="s">
        <v>14</v>
      </c>
      <c r="E15" s="7">
        <v>1.0</v>
      </c>
      <c r="F15" s="6">
        <f t="shared" si="1"/>
        <v>1</v>
      </c>
      <c r="G15" s="9">
        <f t="shared" si="2"/>
        <v>1</v>
      </c>
      <c r="H15" s="6">
        <f t="shared" si="3"/>
        <v>200</v>
      </c>
      <c r="I15" s="10">
        <f t="shared" si="4"/>
        <v>2.38</v>
      </c>
      <c r="J15" s="11">
        <f t="shared" si="5"/>
        <v>1.05</v>
      </c>
      <c r="K15" s="6">
        <f t="shared" si="6"/>
        <v>6.3</v>
      </c>
      <c r="L15" s="6">
        <f t="shared" si="7"/>
        <v>27.9</v>
      </c>
      <c r="M15" s="12" t="s">
        <v>31</v>
      </c>
      <c r="N15" s="14"/>
    </row>
    <row r="16" ht="22.5" customHeight="1">
      <c r="A16" s="6">
        <v>8.0</v>
      </c>
      <c r="B16" s="6">
        <v>6.0</v>
      </c>
      <c r="C16" s="7">
        <v>200.0</v>
      </c>
      <c r="D16" s="8" t="s">
        <v>14</v>
      </c>
      <c r="E16" s="7">
        <v>1.0</v>
      </c>
      <c r="F16" s="6">
        <f t="shared" si="1"/>
        <v>1</v>
      </c>
      <c r="G16" s="9">
        <f t="shared" si="2"/>
        <v>1</v>
      </c>
      <c r="H16" s="6">
        <f t="shared" si="3"/>
        <v>200</v>
      </c>
      <c r="I16" s="10">
        <f t="shared" si="4"/>
        <v>2.38</v>
      </c>
      <c r="J16" s="11">
        <f t="shared" si="5"/>
        <v>1.05</v>
      </c>
      <c r="K16" s="6">
        <f t="shared" si="6"/>
        <v>8.4</v>
      </c>
      <c r="L16" s="6">
        <f t="shared" si="7"/>
        <v>37.2</v>
      </c>
      <c r="M16" s="12" t="s">
        <v>32</v>
      </c>
      <c r="N16" s="14"/>
    </row>
    <row r="17" ht="22.5" customHeight="1">
      <c r="A17" s="15">
        <v>4.0</v>
      </c>
      <c r="B17" s="15">
        <v>4.0</v>
      </c>
      <c r="C17" s="16">
        <v>200.0</v>
      </c>
      <c r="D17" s="17" t="s">
        <v>19</v>
      </c>
      <c r="E17" s="16">
        <v>60.0</v>
      </c>
      <c r="F17" s="15">
        <f t="shared" si="1"/>
        <v>1.4</v>
      </c>
      <c r="G17" s="18">
        <f t="shared" si="2"/>
        <v>0.71</v>
      </c>
      <c r="H17" s="15">
        <f t="shared" si="3"/>
        <v>280</v>
      </c>
      <c r="I17" s="19">
        <f t="shared" si="4"/>
        <v>3.33</v>
      </c>
      <c r="J17" s="20">
        <f t="shared" si="5"/>
        <v>1.05</v>
      </c>
      <c r="K17" s="15">
        <f t="shared" si="6"/>
        <v>3</v>
      </c>
      <c r="L17" s="15">
        <f t="shared" si="7"/>
        <v>13.3</v>
      </c>
      <c r="M17" s="21" t="s">
        <v>33</v>
      </c>
      <c r="N17" s="22" t="s">
        <v>34</v>
      </c>
    </row>
    <row r="18" ht="22.5" customHeight="1">
      <c r="A18" s="15">
        <v>6.0</v>
      </c>
      <c r="B18" s="15">
        <v>6.0</v>
      </c>
      <c r="C18" s="16">
        <v>200.0</v>
      </c>
      <c r="D18" s="17" t="s">
        <v>19</v>
      </c>
      <c r="E18" s="16">
        <v>60.0</v>
      </c>
      <c r="F18" s="15">
        <f t="shared" si="1"/>
        <v>1.4</v>
      </c>
      <c r="G18" s="18">
        <f t="shared" si="2"/>
        <v>0.71</v>
      </c>
      <c r="H18" s="15">
        <f t="shared" si="3"/>
        <v>280</v>
      </c>
      <c r="I18" s="19">
        <f t="shared" si="4"/>
        <v>3.33</v>
      </c>
      <c r="J18" s="20">
        <f t="shared" si="5"/>
        <v>1.05</v>
      </c>
      <c r="K18" s="15">
        <f t="shared" si="6"/>
        <v>4.5</v>
      </c>
      <c r="L18" s="15">
        <f t="shared" si="7"/>
        <v>19.9</v>
      </c>
      <c r="M18" s="23" t="s">
        <v>35</v>
      </c>
      <c r="N18" s="24"/>
    </row>
    <row r="19" ht="22.5" customHeight="1">
      <c r="A19" s="15">
        <v>8.0</v>
      </c>
      <c r="B19" s="15">
        <v>6.0</v>
      </c>
      <c r="C19" s="16">
        <v>200.0</v>
      </c>
      <c r="D19" s="17" t="s">
        <v>19</v>
      </c>
      <c r="E19" s="16">
        <v>60.0</v>
      </c>
      <c r="F19" s="15">
        <f t="shared" si="1"/>
        <v>1.4</v>
      </c>
      <c r="G19" s="18">
        <f t="shared" si="2"/>
        <v>0.71</v>
      </c>
      <c r="H19" s="15">
        <f t="shared" si="3"/>
        <v>280</v>
      </c>
      <c r="I19" s="19">
        <f t="shared" si="4"/>
        <v>3.33</v>
      </c>
      <c r="J19" s="20">
        <f t="shared" si="5"/>
        <v>1.05</v>
      </c>
      <c r="K19" s="15">
        <f t="shared" si="6"/>
        <v>6</v>
      </c>
      <c r="L19" s="15">
        <f t="shared" si="7"/>
        <v>26.6</v>
      </c>
      <c r="M19" s="23" t="s">
        <v>36</v>
      </c>
      <c r="N19" s="24"/>
    </row>
    <row r="20" ht="22.5" customHeight="1">
      <c r="A20" s="15">
        <v>4.0</v>
      </c>
      <c r="B20" s="15">
        <v>4.0</v>
      </c>
      <c r="C20" s="16">
        <v>200.0</v>
      </c>
      <c r="D20" s="17" t="s">
        <v>23</v>
      </c>
      <c r="E20" s="16">
        <v>36.0</v>
      </c>
      <c r="F20" s="15">
        <f t="shared" si="1"/>
        <v>1.67</v>
      </c>
      <c r="G20" s="18">
        <f t="shared" si="2"/>
        <v>0.6</v>
      </c>
      <c r="H20" s="15">
        <f t="shared" si="3"/>
        <v>333</v>
      </c>
      <c r="I20" s="19">
        <f t="shared" si="4"/>
        <v>3.96</v>
      </c>
      <c r="J20" s="20">
        <f t="shared" si="5"/>
        <v>1.05</v>
      </c>
      <c r="K20" s="15">
        <f t="shared" si="6"/>
        <v>2.52</v>
      </c>
      <c r="L20" s="15">
        <f t="shared" si="7"/>
        <v>11.2</v>
      </c>
      <c r="M20" s="21" t="s">
        <v>33</v>
      </c>
      <c r="N20" s="25"/>
    </row>
    <row r="21" ht="22.5" customHeight="1">
      <c r="A21" s="15">
        <v>6.0</v>
      </c>
      <c r="B21" s="15">
        <v>6.0</v>
      </c>
      <c r="C21" s="16">
        <v>200.0</v>
      </c>
      <c r="D21" s="17" t="s">
        <v>23</v>
      </c>
      <c r="E21" s="16">
        <v>36.0</v>
      </c>
      <c r="F21" s="15">
        <f t="shared" si="1"/>
        <v>1.67</v>
      </c>
      <c r="G21" s="18">
        <f t="shared" si="2"/>
        <v>0.6</v>
      </c>
      <c r="H21" s="15">
        <f t="shared" si="3"/>
        <v>333</v>
      </c>
      <c r="I21" s="19">
        <f t="shared" si="4"/>
        <v>3.96</v>
      </c>
      <c r="J21" s="20">
        <f t="shared" si="5"/>
        <v>1.05</v>
      </c>
      <c r="K21" s="15">
        <f t="shared" si="6"/>
        <v>3.78</v>
      </c>
      <c r="L21" s="15">
        <f t="shared" si="7"/>
        <v>16.7</v>
      </c>
      <c r="M21" s="21" t="s">
        <v>37</v>
      </c>
      <c r="N21" s="25"/>
    </row>
    <row r="22" ht="22.5" customHeight="1">
      <c r="A22" s="15">
        <v>8.0</v>
      </c>
      <c r="B22" s="15">
        <v>6.0</v>
      </c>
      <c r="C22" s="16">
        <v>200.0</v>
      </c>
      <c r="D22" s="17" t="s">
        <v>23</v>
      </c>
      <c r="E22" s="16">
        <v>36.0</v>
      </c>
      <c r="F22" s="15">
        <f t="shared" si="1"/>
        <v>1.67</v>
      </c>
      <c r="G22" s="18">
        <f t="shared" si="2"/>
        <v>0.6</v>
      </c>
      <c r="H22" s="15">
        <f t="shared" si="3"/>
        <v>333</v>
      </c>
      <c r="I22" s="19">
        <f t="shared" si="4"/>
        <v>3.96</v>
      </c>
      <c r="J22" s="20">
        <f t="shared" si="5"/>
        <v>1.05</v>
      </c>
      <c r="K22" s="15">
        <f t="shared" si="6"/>
        <v>5.04</v>
      </c>
      <c r="L22" s="15">
        <f t="shared" si="7"/>
        <v>22.3</v>
      </c>
      <c r="M22" s="23" t="s">
        <v>38</v>
      </c>
      <c r="N22" s="22"/>
    </row>
    <row r="23" ht="22.5" customHeight="1">
      <c r="A23" s="26">
        <v>4.0</v>
      </c>
      <c r="B23" s="26">
        <v>4.0</v>
      </c>
      <c r="C23" s="27">
        <v>200.0</v>
      </c>
      <c r="D23" s="28" t="s">
        <v>19</v>
      </c>
      <c r="E23" s="27">
        <v>36.0</v>
      </c>
      <c r="F23" s="26">
        <f t="shared" si="1"/>
        <v>2.33</v>
      </c>
      <c r="G23" s="29">
        <f t="shared" si="2"/>
        <v>0.43</v>
      </c>
      <c r="H23" s="26">
        <f t="shared" si="3"/>
        <v>467</v>
      </c>
      <c r="I23" s="30">
        <f t="shared" si="4"/>
        <v>5.56</v>
      </c>
      <c r="J23" s="31">
        <f t="shared" si="5"/>
        <v>1.05</v>
      </c>
      <c r="K23" s="26">
        <f t="shared" si="6"/>
        <v>1.8</v>
      </c>
      <c r="L23" s="26">
        <f t="shared" si="7"/>
        <v>8</v>
      </c>
      <c r="M23" s="32" t="s">
        <v>39</v>
      </c>
      <c r="N23" s="33" t="s">
        <v>40</v>
      </c>
    </row>
    <row r="24" ht="22.5" customHeight="1">
      <c r="A24" s="26">
        <v>6.0</v>
      </c>
      <c r="B24" s="26">
        <v>6.0</v>
      </c>
      <c r="C24" s="27">
        <v>200.0</v>
      </c>
      <c r="D24" s="28" t="s">
        <v>19</v>
      </c>
      <c r="E24" s="27">
        <v>36.0</v>
      </c>
      <c r="F24" s="26">
        <f t="shared" si="1"/>
        <v>2.33</v>
      </c>
      <c r="G24" s="29">
        <f t="shared" si="2"/>
        <v>0.43</v>
      </c>
      <c r="H24" s="26">
        <f t="shared" si="3"/>
        <v>467</v>
      </c>
      <c r="I24" s="30">
        <f t="shared" si="4"/>
        <v>5.56</v>
      </c>
      <c r="J24" s="31">
        <f t="shared" si="5"/>
        <v>1.05</v>
      </c>
      <c r="K24" s="26">
        <f t="shared" si="6"/>
        <v>2.7</v>
      </c>
      <c r="L24" s="26">
        <f t="shared" si="7"/>
        <v>11.9</v>
      </c>
      <c r="M24" s="32" t="s">
        <v>41</v>
      </c>
      <c r="N24" s="25"/>
    </row>
    <row r="25" ht="22.5" customHeight="1">
      <c r="A25" s="26">
        <v>8.0</v>
      </c>
      <c r="B25" s="26">
        <v>6.0</v>
      </c>
      <c r="C25" s="27">
        <v>200.0</v>
      </c>
      <c r="D25" s="28" t="s">
        <v>19</v>
      </c>
      <c r="E25" s="27">
        <v>36.0</v>
      </c>
      <c r="F25" s="26">
        <f t="shared" si="1"/>
        <v>2.33</v>
      </c>
      <c r="G25" s="29">
        <f t="shared" si="2"/>
        <v>0.43</v>
      </c>
      <c r="H25" s="26">
        <f t="shared" si="3"/>
        <v>467</v>
      </c>
      <c r="I25" s="30">
        <f t="shared" si="4"/>
        <v>5.56</v>
      </c>
      <c r="J25" s="31">
        <f t="shared" si="5"/>
        <v>1.05</v>
      </c>
      <c r="K25" s="26">
        <f t="shared" si="6"/>
        <v>3.6</v>
      </c>
      <c r="L25" s="26">
        <f t="shared" si="7"/>
        <v>15.9</v>
      </c>
      <c r="M25" s="32" t="s">
        <v>42</v>
      </c>
      <c r="N25" s="25"/>
    </row>
    <row r="26" ht="22.5" customHeight="1">
      <c r="A26" s="34">
        <v>4.0</v>
      </c>
      <c r="B26" s="34">
        <v>4.0</v>
      </c>
      <c r="C26" s="35">
        <v>600.0</v>
      </c>
      <c r="D26" s="36" t="s">
        <v>14</v>
      </c>
      <c r="E26" s="35">
        <v>1.0</v>
      </c>
      <c r="F26" s="34">
        <f t="shared" si="1"/>
        <v>1</v>
      </c>
      <c r="G26" s="37">
        <f t="shared" si="2"/>
        <v>1</v>
      </c>
      <c r="H26" s="34">
        <f t="shared" si="3"/>
        <v>600</v>
      </c>
      <c r="I26" s="38">
        <f t="shared" si="4"/>
        <v>7.14</v>
      </c>
      <c r="J26" s="39">
        <f t="shared" si="5"/>
        <v>0.35</v>
      </c>
      <c r="K26" s="34">
        <f t="shared" si="6"/>
        <v>1.4</v>
      </c>
      <c r="L26" s="34">
        <f t="shared" si="7"/>
        <v>6.2</v>
      </c>
      <c r="M26" s="40" t="s">
        <v>43</v>
      </c>
      <c r="N26" s="41" t="s">
        <v>44</v>
      </c>
    </row>
    <row r="27" ht="22.5" customHeight="1">
      <c r="A27" s="34">
        <v>6.0</v>
      </c>
      <c r="B27" s="34">
        <v>6.0</v>
      </c>
      <c r="C27" s="35">
        <v>600.0</v>
      </c>
      <c r="D27" s="36" t="s">
        <v>14</v>
      </c>
      <c r="E27" s="35">
        <v>1.0</v>
      </c>
      <c r="F27" s="34">
        <f t="shared" si="1"/>
        <v>1</v>
      </c>
      <c r="G27" s="37">
        <f t="shared" si="2"/>
        <v>1</v>
      </c>
      <c r="H27" s="34">
        <f t="shared" si="3"/>
        <v>600</v>
      </c>
      <c r="I27" s="38">
        <f t="shared" si="4"/>
        <v>7.14</v>
      </c>
      <c r="J27" s="39">
        <f t="shared" si="5"/>
        <v>0.35</v>
      </c>
      <c r="K27" s="34">
        <f t="shared" si="6"/>
        <v>2.1</v>
      </c>
      <c r="L27" s="34">
        <f t="shared" si="7"/>
        <v>9.3</v>
      </c>
      <c r="M27" s="40" t="s">
        <v>45</v>
      </c>
      <c r="N27" s="42"/>
    </row>
    <row r="28" ht="22.5" customHeight="1">
      <c r="A28" s="34">
        <v>8.0</v>
      </c>
      <c r="B28" s="34">
        <v>6.0</v>
      </c>
      <c r="C28" s="35">
        <v>600.0</v>
      </c>
      <c r="D28" s="36" t="s">
        <v>14</v>
      </c>
      <c r="E28" s="35">
        <v>1.0</v>
      </c>
      <c r="F28" s="34">
        <f t="shared" si="1"/>
        <v>1</v>
      </c>
      <c r="G28" s="37">
        <f t="shared" si="2"/>
        <v>1</v>
      </c>
      <c r="H28" s="34">
        <f t="shared" si="3"/>
        <v>600</v>
      </c>
      <c r="I28" s="38">
        <f t="shared" si="4"/>
        <v>7.14</v>
      </c>
      <c r="J28" s="39">
        <f t="shared" si="5"/>
        <v>0.35</v>
      </c>
      <c r="K28" s="34">
        <f t="shared" si="6"/>
        <v>2.8</v>
      </c>
      <c r="L28" s="34">
        <f t="shared" si="7"/>
        <v>12.4</v>
      </c>
      <c r="M28" s="40" t="s">
        <v>46</v>
      </c>
      <c r="N28" s="42"/>
    </row>
    <row r="29" ht="22.5" customHeight="1">
      <c r="A29" s="34">
        <v>4.0</v>
      </c>
      <c r="B29" s="34">
        <v>4.0</v>
      </c>
      <c r="C29" s="35">
        <v>600.0</v>
      </c>
      <c r="D29" s="36" t="s">
        <v>19</v>
      </c>
      <c r="E29" s="35">
        <v>60.0</v>
      </c>
      <c r="F29" s="34">
        <f t="shared" si="1"/>
        <v>1.4</v>
      </c>
      <c r="G29" s="37">
        <f t="shared" si="2"/>
        <v>0.71</v>
      </c>
      <c r="H29" s="34">
        <f t="shared" si="3"/>
        <v>840</v>
      </c>
      <c r="I29" s="38">
        <f t="shared" si="4"/>
        <v>10</v>
      </c>
      <c r="J29" s="39">
        <f t="shared" si="5"/>
        <v>0.35</v>
      </c>
      <c r="K29" s="34">
        <f t="shared" si="6"/>
        <v>1</v>
      </c>
      <c r="L29" s="34">
        <f t="shared" si="7"/>
        <v>4.4</v>
      </c>
      <c r="M29" s="40" t="s">
        <v>47</v>
      </c>
      <c r="N29" s="42"/>
    </row>
    <row r="30" ht="22.5" customHeight="1">
      <c r="A30" s="34">
        <v>6.0</v>
      </c>
      <c r="B30" s="34">
        <v>6.0</v>
      </c>
      <c r="C30" s="35">
        <v>600.0</v>
      </c>
      <c r="D30" s="36" t="s">
        <v>19</v>
      </c>
      <c r="E30" s="35">
        <v>60.0</v>
      </c>
      <c r="F30" s="34">
        <f t="shared" si="1"/>
        <v>1.4</v>
      </c>
      <c r="G30" s="37">
        <f t="shared" si="2"/>
        <v>0.71</v>
      </c>
      <c r="H30" s="34">
        <f t="shared" si="3"/>
        <v>840</v>
      </c>
      <c r="I30" s="38">
        <f t="shared" si="4"/>
        <v>10</v>
      </c>
      <c r="J30" s="39">
        <f t="shared" si="5"/>
        <v>0.35</v>
      </c>
      <c r="K30" s="34">
        <f t="shared" si="6"/>
        <v>1.5</v>
      </c>
      <c r="L30" s="34">
        <f t="shared" si="7"/>
        <v>6.6</v>
      </c>
      <c r="M30" s="40" t="s">
        <v>48</v>
      </c>
      <c r="N30" s="42"/>
    </row>
    <row r="31" ht="22.5" customHeight="1">
      <c r="A31" s="34">
        <v>8.0</v>
      </c>
      <c r="B31" s="34">
        <v>6.0</v>
      </c>
      <c r="C31" s="35">
        <v>600.0</v>
      </c>
      <c r="D31" s="36" t="s">
        <v>19</v>
      </c>
      <c r="E31" s="35">
        <v>60.0</v>
      </c>
      <c r="F31" s="34">
        <f t="shared" si="1"/>
        <v>1.4</v>
      </c>
      <c r="G31" s="37">
        <f t="shared" si="2"/>
        <v>0.71</v>
      </c>
      <c r="H31" s="34">
        <f t="shared" si="3"/>
        <v>840</v>
      </c>
      <c r="I31" s="38">
        <f t="shared" si="4"/>
        <v>10</v>
      </c>
      <c r="J31" s="39">
        <f t="shared" si="5"/>
        <v>0.35</v>
      </c>
      <c r="K31" s="34">
        <f t="shared" si="6"/>
        <v>2</v>
      </c>
      <c r="L31" s="34">
        <f t="shared" si="7"/>
        <v>8.9</v>
      </c>
      <c r="M31" s="40" t="s">
        <v>49</v>
      </c>
      <c r="N31" s="42"/>
    </row>
    <row r="32" ht="22.5" customHeight="1">
      <c r="A32" s="34">
        <v>4.0</v>
      </c>
      <c r="B32" s="34">
        <v>4.0</v>
      </c>
      <c r="C32" s="35">
        <v>600.0</v>
      </c>
      <c r="D32" s="36" t="s">
        <v>23</v>
      </c>
      <c r="E32" s="35">
        <v>36.0</v>
      </c>
      <c r="F32" s="34">
        <f t="shared" si="1"/>
        <v>1.67</v>
      </c>
      <c r="G32" s="37">
        <f t="shared" si="2"/>
        <v>0.6</v>
      </c>
      <c r="H32" s="34">
        <f t="shared" si="3"/>
        <v>1000</v>
      </c>
      <c r="I32" s="38">
        <f t="shared" si="4"/>
        <v>11.9</v>
      </c>
      <c r="J32" s="39">
        <f t="shared" si="5"/>
        <v>0.35</v>
      </c>
      <c r="K32" s="34">
        <f t="shared" si="6"/>
        <v>0.84</v>
      </c>
      <c r="L32" s="34">
        <f t="shared" si="7"/>
        <v>3.7</v>
      </c>
      <c r="M32" s="40" t="s">
        <v>50</v>
      </c>
      <c r="N32" s="42"/>
    </row>
    <row r="33" ht="22.5" customHeight="1">
      <c r="A33" s="34">
        <v>6.0</v>
      </c>
      <c r="B33" s="34">
        <v>6.0</v>
      </c>
      <c r="C33" s="35">
        <v>600.0</v>
      </c>
      <c r="D33" s="36" t="s">
        <v>23</v>
      </c>
      <c r="E33" s="35">
        <v>36.0</v>
      </c>
      <c r="F33" s="34">
        <f t="shared" si="1"/>
        <v>1.67</v>
      </c>
      <c r="G33" s="37">
        <f t="shared" si="2"/>
        <v>0.6</v>
      </c>
      <c r="H33" s="34">
        <f t="shared" si="3"/>
        <v>1000</v>
      </c>
      <c r="I33" s="38">
        <f t="shared" si="4"/>
        <v>11.9</v>
      </c>
      <c r="J33" s="39">
        <f t="shared" si="5"/>
        <v>0.35</v>
      </c>
      <c r="K33" s="34">
        <f t="shared" si="6"/>
        <v>1.26</v>
      </c>
      <c r="L33" s="34">
        <f t="shared" si="7"/>
        <v>5.6</v>
      </c>
      <c r="M33" s="40" t="s">
        <v>50</v>
      </c>
      <c r="N33" s="42"/>
    </row>
    <row r="34" ht="22.5" customHeight="1">
      <c r="A34" s="34">
        <v>8.0</v>
      </c>
      <c r="B34" s="34">
        <v>6.0</v>
      </c>
      <c r="C34" s="35">
        <v>600.0</v>
      </c>
      <c r="D34" s="36" t="s">
        <v>23</v>
      </c>
      <c r="E34" s="35">
        <v>36.0</v>
      </c>
      <c r="F34" s="34">
        <f t="shared" si="1"/>
        <v>1.67</v>
      </c>
      <c r="G34" s="37">
        <f t="shared" si="2"/>
        <v>0.6</v>
      </c>
      <c r="H34" s="34">
        <f t="shared" si="3"/>
        <v>1000</v>
      </c>
      <c r="I34" s="38">
        <f t="shared" si="4"/>
        <v>11.9</v>
      </c>
      <c r="J34" s="39">
        <f t="shared" si="5"/>
        <v>0.35</v>
      </c>
      <c r="K34" s="34">
        <f t="shared" si="6"/>
        <v>1.68</v>
      </c>
      <c r="L34" s="34">
        <f t="shared" si="7"/>
        <v>7.4</v>
      </c>
      <c r="M34" s="40" t="s">
        <v>50</v>
      </c>
      <c r="N34" s="42"/>
    </row>
    <row r="35" ht="22.5" customHeight="1">
      <c r="A35" s="34">
        <v>4.0</v>
      </c>
      <c r="B35" s="34">
        <v>4.0</v>
      </c>
      <c r="C35" s="35">
        <v>600.0</v>
      </c>
      <c r="D35" s="36" t="s">
        <v>19</v>
      </c>
      <c r="E35" s="35">
        <v>36.0</v>
      </c>
      <c r="F35" s="34">
        <f t="shared" si="1"/>
        <v>2.33</v>
      </c>
      <c r="G35" s="37">
        <f t="shared" si="2"/>
        <v>0.43</v>
      </c>
      <c r="H35" s="34">
        <f t="shared" si="3"/>
        <v>1400</v>
      </c>
      <c r="I35" s="38">
        <f t="shared" si="4"/>
        <v>16.66</v>
      </c>
      <c r="J35" s="39">
        <f t="shared" si="5"/>
        <v>0.35</v>
      </c>
      <c r="K35" s="34">
        <f t="shared" si="6"/>
        <v>0.6</v>
      </c>
      <c r="L35" s="34">
        <f t="shared" si="7"/>
        <v>2.7</v>
      </c>
      <c r="M35" s="40" t="s">
        <v>51</v>
      </c>
      <c r="N35" s="42"/>
    </row>
    <row r="36" ht="22.5" customHeight="1">
      <c r="A36" s="34">
        <v>6.0</v>
      </c>
      <c r="B36" s="34">
        <v>6.0</v>
      </c>
      <c r="C36" s="35">
        <v>600.0</v>
      </c>
      <c r="D36" s="36" t="s">
        <v>19</v>
      </c>
      <c r="E36" s="35">
        <v>36.0</v>
      </c>
      <c r="F36" s="34">
        <f t="shared" si="1"/>
        <v>2.33</v>
      </c>
      <c r="G36" s="37">
        <f t="shared" si="2"/>
        <v>0.43</v>
      </c>
      <c r="H36" s="34">
        <f t="shared" si="3"/>
        <v>1400</v>
      </c>
      <c r="I36" s="38">
        <f t="shared" si="4"/>
        <v>16.66</v>
      </c>
      <c r="J36" s="39">
        <f t="shared" si="5"/>
        <v>0.35</v>
      </c>
      <c r="K36" s="34">
        <f t="shared" si="6"/>
        <v>0.9</v>
      </c>
      <c r="L36" s="34">
        <f t="shared" si="7"/>
        <v>4</v>
      </c>
      <c r="M36" s="40" t="s">
        <v>51</v>
      </c>
      <c r="N36" s="42"/>
    </row>
    <row r="37" ht="22.5" customHeight="1">
      <c r="A37" s="34">
        <v>8.0</v>
      </c>
      <c r="B37" s="34">
        <v>6.0</v>
      </c>
      <c r="C37" s="35">
        <v>600.0</v>
      </c>
      <c r="D37" s="36" t="s">
        <v>19</v>
      </c>
      <c r="E37" s="35">
        <v>36.0</v>
      </c>
      <c r="F37" s="34">
        <f t="shared" si="1"/>
        <v>2.33</v>
      </c>
      <c r="G37" s="37">
        <f t="shared" si="2"/>
        <v>0.43</v>
      </c>
      <c r="H37" s="34">
        <f t="shared" si="3"/>
        <v>1400</v>
      </c>
      <c r="I37" s="38">
        <f t="shared" si="4"/>
        <v>16.66</v>
      </c>
      <c r="J37" s="39">
        <f t="shared" si="5"/>
        <v>0.35</v>
      </c>
      <c r="K37" s="34">
        <f t="shared" si="6"/>
        <v>1.2</v>
      </c>
      <c r="L37" s="34">
        <f t="shared" si="7"/>
        <v>5.3</v>
      </c>
      <c r="M37" s="40" t="s">
        <v>51</v>
      </c>
      <c r="N37" s="42"/>
    </row>
    <row r="38" ht="22.5" customHeight="1">
      <c r="A38" s="43">
        <v>8.0</v>
      </c>
      <c r="B38" s="43">
        <v>6.0</v>
      </c>
      <c r="C38" s="44">
        <v>200.0</v>
      </c>
      <c r="D38" s="45" t="s">
        <v>52</v>
      </c>
      <c r="E38" s="44">
        <v>48.0</v>
      </c>
      <c r="F38" s="43">
        <f t="shared" si="1"/>
        <v>1.5</v>
      </c>
      <c r="G38" s="46">
        <f t="shared" si="2"/>
        <v>0.67</v>
      </c>
      <c r="H38" s="43">
        <f t="shared" si="3"/>
        <v>300</v>
      </c>
      <c r="I38" s="47">
        <f t="shared" si="4"/>
        <v>3.57</v>
      </c>
      <c r="J38" s="48">
        <f t="shared" si="5"/>
        <v>1.05</v>
      </c>
      <c r="K38" s="43">
        <f t="shared" si="6"/>
        <v>5.6</v>
      </c>
      <c r="L38" s="43">
        <f t="shared" si="7"/>
        <v>24.8</v>
      </c>
      <c r="M38" s="49" t="s">
        <v>53</v>
      </c>
      <c r="N38" s="41" t="s">
        <v>54</v>
      </c>
    </row>
  </sheetData>
  <dataValidations>
    <dataValidation type="list" allowBlank="1" sqref="D2:D38">
      <formula1>"1,84,60,36,18,72"</formula1>
    </dataValidation>
    <dataValidation type="list" allowBlank="1" sqref="E2:E38">
      <formula1>"1,60,36,48"</formula1>
    </dataValidation>
    <dataValidation type="custom" allowBlank="1" showDropDown="1" sqref="A2:B38 F2:L38">
      <formula1>AND(ISNUMBER(A2),(NOT(OR(NOT(ISERROR(DATEVALUE(A2))), AND(ISNUMBER(A2), LEFT(CELL("format", A2))="D")))))</formula1>
    </dataValidation>
    <dataValidation type="list" allowBlank="1" sqref="C2:C38">
      <formula1>"100,200,600"</formula1>
    </dataValidation>
  </dataValidations>
  <drawing r:id="rId1"/>
  <tableParts count="1">
    <tablePart r:id="rId3"/>
  </tableParts>
</worksheet>
</file>